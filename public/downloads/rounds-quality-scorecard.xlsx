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orecard" sheetId="1" state="visible" r:id="rId3"/>
    <sheet name="Measures" sheetId="2" state="visible" r:id="rId4"/>
    <sheet name="Notes" sheetId="3" state="visible" r:id="rId5"/>
  </sheets>
  <definedNames>
    <definedName function="false" hidden="false" localSheetId="1" name="_xlnm.Print_Area" vbProcedure="false">Measures!$A$1:$G$19</definedName>
    <definedName function="false" hidden="false" localSheetId="1" name="_xlnm.Print_Titles" vbProcedure="false">Measures!$1:$7</definedName>
    <definedName function="false" hidden="true" localSheetId="1" name="_xlnm._FilterDatabase" vbProcedure="false">Measures!$A$7:$G$17</definedName>
    <definedName function="false" hidden="false" localSheetId="2" name="_xlnm.Print_Area" vbProcedure="false">Notes!$A$1:$B$49</definedName>
    <definedName function="false" hidden="false" localSheetId="2" name="_xlnm.Print_Titles" vbProcedure="false">Notes!$1:$3</definedName>
    <definedName function="false" hidden="false" localSheetId="0" name="_xlnm.Print_Area" vbProcedure="false">Scorecard!$A$1:$F$39</definedName>
    <definedName function="false" hidden="false" localSheetId="0" name="_xlnm.Print_Titles" vbProcedure="false">Scorecard!$1:$7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<sst xmlns="http://schemas.openxmlformats.org/spreadsheetml/2006/main" count="217" uniqueCount="111">
  <si>
    <t xml:space="preserve">rounds quality scorecard</t>
  </si>
  <si>
    <t xml:space="preserve">Synthetic Massachusetts sample. As of 2026-09-22.</t>
  </si>
  <si>
    <t xml:space="preserve">Simplified documentation and data-coverage measures. No certified quality targets or benchmark thresholds.</t>
  </si>
  <si>
    <t xml:space="preserve">Measure</t>
  </si>
  <si>
    <t xml:space="preserve">Department</t>
  </si>
  <si>
    <t xml:space="preserve">Numerator</t>
  </si>
  <si>
    <t xml:space="preserve">Denominator</t>
  </si>
  <si>
    <t xml:space="preserve">Rate</t>
  </si>
  <si>
    <t xml:space="preserve">Scope</t>
  </si>
  <si>
    <t xml:space="preserve">30-day all-cause inpatient return</t>
  </si>
  <si>
    <t xml:space="preserve">inpatient</t>
  </si>
  <si>
    <t xml:space="preserve">Lifetime index admissions</t>
  </si>
  <si>
    <t xml:space="preserve">Wellness visit in past year</t>
  </si>
  <si>
    <t xml:space="preserve">primary-care</t>
  </si>
  <si>
    <t xml:space="preserve">Prior 365 days. Living population.</t>
  </si>
  <si>
    <t xml:space="preserve">Diabetes: recent HbA1c recorded</t>
  </si>
  <si>
    <t xml:space="preserve">Hypertension: recent systolic BP recorded</t>
  </si>
  <si>
    <t xml:space="preserve">CKD: recent creatinine recorded</t>
  </si>
  <si>
    <t xml:space="preserve">Obesity: recent BMI recorded</t>
  </si>
  <si>
    <t xml:space="preserve">Adults: recent blood pressure recorded</t>
  </si>
  <si>
    <t xml:space="preserve">Adults: recent BMI recorded</t>
  </si>
  <si>
    <t xml:space="preserve">Influenza immunization recorded</t>
  </si>
  <si>
    <t xml:space="preserve">Readmission follow-up completeness</t>
  </si>
  <si>
    <t xml:space="preserve">informatics</t>
  </si>
  <si>
    <t xml:space="preserve">Lifetime admission coverage</t>
  </si>
  <si>
    <t xml:space="preserve">Each denominator follows its own specification. Rates must not be summed or averaged across measures.</t>
  </si>
  <si>
    <t xml:space="preserve">Definitions, exclusions and provenance are in Notes. Empty inputs and zero denominators display n.a.</t>
  </si>
  <si>
    <t xml:space="preserve">Observed data checks</t>
  </si>
  <si>
    <t xml:space="preserve">13 of 13 observed-data checks pass. No defects were injected; detection sensitivity was not measured.</t>
  </si>
  <si>
    <t xml:space="preserve">Check</t>
  </si>
  <si>
    <t xml:space="preserve">Category</t>
  </si>
  <si>
    <t xml:space="preserve">Checked rows</t>
  </si>
  <si>
    <t xml:space="preserve">Failed rows</t>
  </si>
  <si>
    <t xml:space="preserve">Status</t>
  </si>
  <si>
    <t xml:space="preserve">visit_occurrence person link</t>
  </si>
  <si>
    <t xml:space="preserve">referential integrity</t>
  </si>
  <si>
    <t xml:space="preserve">pass</t>
  </si>
  <si>
    <t xml:space="preserve">Observed-data check. No defect injection.</t>
  </si>
  <si>
    <t xml:space="preserve">condition_occurrence person link</t>
  </si>
  <si>
    <t xml:space="preserve">drug_exposure person link</t>
  </si>
  <si>
    <t xml:space="preserve">procedure_occurrence person link</t>
  </si>
  <si>
    <t xml:space="preserve">measurement person link</t>
  </si>
  <si>
    <t xml:space="preserve">imaging person link</t>
  </si>
  <si>
    <t xml:space="preserve">immunization person link</t>
  </si>
  <si>
    <t xml:space="preserve">observation_period person link</t>
  </si>
  <si>
    <t xml:space="preserve">Encounter date order</t>
  </si>
  <si>
    <t xml:space="preserve">temporal validity</t>
  </si>
  <si>
    <t xml:space="preserve">Unique patient hashes</t>
  </si>
  <si>
    <t xml:space="preserve">uniqueness</t>
  </si>
  <si>
    <t xml:space="preserve">Readmission censoring</t>
  </si>
  <si>
    <t xml:space="preserve">outcome validity</t>
  </si>
  <si>
    <t xml:space="preserve">Numeric measurement parse</t>
  </si>
  <si>
    <t xml:space="preserve">completeness</t>
  </si>
  <si>
    <t xml:space="preserve">Known encounter classes</t>
  </si>
  <si>
    <t xml:space="preserve">conformance</t>
  </si>
  <si>
    <t xml:space="preserve">Measure source values</t>
  </si>
  <si>
    <t xml:space="preserve">Source: generated manifest.json. Official Synthea build d9d07a6. Seed 20260923.</t>
  </si>
  <si>
    <t xml:space="preserve">Each row represents one aggregate measure. Original numerators, denominators and reported rates are preserved.</t>
  </si>
  <si>
    <t xml:space="preserve">Measure ID</t>
  </si>
  <si>
    <t xml:space="preserve">Source rate</t>
  </si>
  <si>
    <t xml:space="preserve">Unit</t>
  </si>
  <si>
    <t xml:space="preserve">return30</t>
  </si>
  <si>
    <t xml:space="preserve">%</t>
  </si>
  <si>
    <t xml:space="preserve">annual-wellness</t>
  </si>
  <si>
    <t xml:space="preserve">diabetes-a1c</t>
  </si>
  <si>
    <t xml:space="preserve">hypertension-bp</t>
  </si>
  <si>
    <t xml:space="preserve">ckd-creatinine</t>
  </si>
  <si>
    <t xml:space="preserve">obesity-bmi</t>
  </si>
  <si>
    <t xml:space="preserve">adult-bp</t>
  </si>
  <si>
    <t xml:space="preserve">adult-bmi</t>
  </si>
  <si>
    <t xml:space="preserve">flu-record</t>
  </si>
  <si>
    <t xml:space="preserve">followup-coverage</t>
  </si>
  <si>
    <t xml:space="preserve">Definitions and provenance</t>
  </si>
  <si>
    <t xml:space="preserve">Required statement</t>
  </si>
  <si>
    <t xml:space="preserve">This is a portfolio demonstration on synthetic data. It is not a medical device, has not been validated for clinical use, and must not be used to make decisions about real patients.</t>
  </si>
  <si>
    <t xml:space="preserve">Population</t>
  </si>
  <si>
    <t xml:space="preserve">2,000-patient sample; 2000 patients; 290264 source encounters.</t>
  </si>
  <si>
    <t xml:space="preserve">Source</t>
  </si>
  <si>
    <t xml:space="preserve">Official Synthea synthetic Massachusetts population</t>
  </si>
  <si>
    <t xml:space="preserve">Generation</t>
  </si>
  <si>
    <t xml:space="preserve">Seed 20260923. Build d9d07a6. Reference and simulation end 2026-09-22.</t>
  </si>
  <si>
    <t xml:space="preserve">Calendar</t>
  </si>
  <si>
    <t xml:space="preserve">Patient-level dates shifted by up to 180 days; intervals and observation ends preserved.</t>
  </si>
  <si>
    <t xml:space="preserve">Missing values</t>
  </si>
  <si>
    <t xml:space="preserve">Unavailable source values remain blank in Measures. Scorecard formulas return n.a. for missing required counts or a zero denominator. A real zero numerator produces a zero rate.</t>
  </si>
  <si>
    <t xml:space="preserve">Interpretation</t>
  </si>
  <si>
    <t xml:space="preserve">These are simplified, noncertified documentation or data-coverage measures. No benchmark, target, clinical recommendation or comparison against real hospitals is implied.</t>
  </si>
  <si>
    <t xml:space="preserve">Recalculation</t>
  </si>
  <si>
    <t xml:space="preserve">Scorecard numerators, denominators and rates link to Measures. The rate is numerator divided by denominator. Source rate preserves the rounded manifest value.</t>
  </si>
  <si>
    <t xml:space="preserve">Data checks</t>
  </si>
  <si>
    <t xml:space="preserve">Terminology</t>
  </si>
  <si>
    <t xml:space="preserve">Source-code presence is a completeness measure, not proof of standard OMOP concept mapping.</t>
  </si>
  <si>
    <t xml:space="preserve">Privacy</t>
  </si>
  <si>
    <t xml:space="preserve">This workbook contains aggregate values only. It contains no patient-level records, pseudonyms or identifiers.</t>
  </si>
  <si>
    <t xml:space="preserve">Synthea source</t>
  </si>
  <si>
    <t xml:space="preserve">https://github.com/synthetichealth/synthea/releases/tag/master-branch-latest</t>
  </si>
  <si>
    <t xml:space="preserve">Measure definitions</t>
  </si>
  <si>
    <t xml:space="preserve">Simplified all-cause return; no planned-admission algorithm or transfer adjudication. Complete follow-up only. Lifetime index admissions.</t>
  </si>
  <si>
    <t xml:space="preserve">Exclusions</t>
  </si>
  <si>
    <t xml:space="preserve">Discharge plus 30 days exceeds shifted observation end; death during follow-up. Not CMS-certified.</t>
  </si>
  <si>
    <t xml:space="preserve">Living patients with a recorded wellness encounter in the preceding 365 days.</t>
  </si>
  <si>
    <t xml:space="preserve">Deceased patients and missing or out-of-window observations excluded where stated.</t>
  </si>
  <si>
    <t xml:space="preserve">Simplified documentation measure: living lifetime diabetes cohort with LOINC 4548-4 recorded during the prior 365 days. No clinical adequacy threshold.</t>
  </si>
  <si>
    <t xml:space="preserve">Simplified documentation measure: living lifetime hypertension cohort with LOINC 8480-6 recorded during the prior 365 days. No clinical adequacy threshold.</t>
  </si>
  <si>
    <t xml:space="preserve">Simplified documentation measure: living lifetime ckd cohort with LOINC 38483-4 recorded during the prior 365 days. No clinical adequacy threshold.</t>
  </si>
  <si>
    <t xml:space="preserve">Simplified documentation measure: living lifetime obesity cohort with LOINC 39156-5 recorded during the prior 365 days. No clinical adequacy threshold.</t>
  </si>
  <si>
    <t xml:space="preserve">Living adults with systolic blood pressure in the prior 365 days.</t>
  </si>
  <si>
    <t xml:space="preserve">Living adults with BMI documented in the prior 365 days.</t>
  </si>
  <si>
    <t xml:space="preserve">Living patients with a source description containing influenza in the prior 365 days. Documentation-only; no age or seasonal eligibility certification.</t>
  </si>
  <si>
    <t xml:space="preserve">Admissions with an observable 30-day outcome window. Data coverage, not clinical performance.</t>
  </si>
  <si>
    <t xml:space="preserve">No exclusions from admission denominator.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</si>
</sst>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03443"/>
      <name val="Arial"/>
      <family val="0"/>
      <charset val="1"/>
    </font>
    <font>
      <sz val="10"/>
      <color rgb="FF203443"/>
      <name val="Arial"/>
      <family val="0"/>
      <charset val="1"/>
    </font>
    <font>
      <sz val="10"/>
      <color rgb="FF53657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203443"/>
      <name val="Arial"/>
      <family val="0"/>
      <charset val="1"/>
    </font>
    <font>
      <b val="true"/>
      <sz val="10"/>
      <color rgb="FF20344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8364B"/>
        <bgColor rgb="FF203443"/>
      </patternFill>
    </fill>
    <fill>
      <patternFill patternType="solid">
        <fgColor rgb="FFF2F6F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8364B"/>
      </bottom>
      <diagonal/>
    </border>
    <border diagonalUp="false" diagonalDown="false">
      <left/>
      <right style="thin">
        <color rgb="FFFFFFF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8364B"/>
          <bgColor rgb="FF000000"/>
        </patternFill>
      </fill>
    </dxf>
    <dxf>
      <fill>
        <patternFill patternType="solid">
          <fgColor rgb="FFF2F6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0344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0000"/>
      </font>
      <border diagonalUp="false" diagonalDown="false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</border>
    </dxf>
    <dxf>
      <border diagonalUp="false" diagonalDown="false">
        <left style="thin">
          <color theme="4"/>
        </left>
        <right/>
        <top/>
        <bottom/>
        <diagonal/>
      </border>
    </dxf>
    <dxf>
      <border diagonalUp="false" diagonalDown="false">
        <left style="thin">
          <color theme="4"/>
        </left>
        <right/>
        <top/>
        <bottom/>
        <diagonal/>
      </border>
    </dxf>
    <dxf>
      <border diagonalUp="false" diagonalDown="false">
        <left/>
        <right/>
        <top style="thin">
          <color theme="4"/>
        </top>
        <bottom/>
        <diagonal/>
      </border>
    </dxf>
    <dxf>
      <border diagonalUp="false" diagonalDown="false">
        <left/>
        <right/>
        <top style="thin">
          <color theme="4"/>
        </top>
        <bottom/>
        <diagonal/>
      </border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9" name="TableStyleLight9">
      <tableStyleElement dxfId="5" type="wholeTable"/>
      <tableStyleElement dxfId="6" type="firstColumnStripe"/>
      <tableStyleElement dxfId="7" type="secondColumnStripe"/>
      <tableStyleElement dxfId="8" type="firstRowStripe"/>
      <tableStyleElement dxfId="9" type="secondRowStripe"/>
      <tableStyleElement dxfId="10" type="lastColumn"/>
      <tableStyleElement dxfId="11" type="firstColumn"/>
      <tableStyleElement dxfId="12" type="headerRow"/>
      <tableStyleElement dxfId="13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993366"/>
      <rgbColor rgb="FFF2F6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36574"/>
      <rgbColor rgb="FF969696"/>
      <rgbColor rgb="FF18364B"/>
      <rgbColor rgb="FF339966"/>
      <rgbColor rgb="FF003300"/>
      <rgbColor rgb="FF333300"/>
      <rgbColor rgb="FF993300"/>
      <rgbColor rgb="FF993366"/>
      <rgbColor rgb="FF333399"/>
      <rgbColor rgb="FF2034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MeasureSource" displayName="MeasureSource" ref="A7:G17" headerRowCount="1" totalsRowCount="0" totalsRowShown="0">
  <autoFilter ref="A7:G17"/>
  <tableColumns count="7">
    <tableColumn id="1" name="Measure ID"/>
    <tableColumn id="2" name="Measure"/>
    <tableColumn id="3" name="Numerator"/>
    <tableColumn id="4" name="Denominator"/>
    <tableColumn id="5" name="Source rate"/>
    <tableColumn id="6" name="Unit"/>
    <tableColumn id="7" name="Department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github.com/synthetichealth/synthea/releases/tag/master-branch-lates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364B"/>
    <pageSetUpPr fitToPage="true"/>
  </sheetPr>
  <dimension ref="A2:F38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5" min="3" style="0" width="14"/>
    <col collapsed="false" customWidth="true" hidden="false" outlineLevel="0" max="6" min="6" style="0" width="44"/>
  </cols>
  <sheetData>
    <row r="2" customFormat="false" ht="27" hidden="false" customHeight="true" outlineLevel="0" collapsed="false">
      <c r="A2" s="1" t="s">
        <v>0</v>
      </c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1</v>
      </c>
    </row>
    <row r="5" customFormat="false" ht="15" hidden="false" customHeight="false" outlineLevel="0" collapsed="false">
      <c r="A5" s="4" t="s">
        <v>2</v>
      </c>
    </row>
    <row r="7" customFormat="false" ht="30" hidden="false" customHeight="true" outlineLevel="0" collapsed="false">
      <c r="A7" s="5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</row>
    <row r="8" customFormat="false" ht="34.5" hidden="false" customHeight="true" outlineLevel="0" collapsed="false">
      <c r="A8" s="6" t="s">
        <v>9</v>
      </c>
      <c r="B8" s="6" t="s">
        <v>10</v>
      </c>
      <c r="C8" s="7" t="n">
        <f aca="false">IF(ISNUMBER(Measures!C8),Measures!C8,"n.a.")</f>
        <v>175</v>
      </c>
      <c r="D8" s="7" t="n">
        <f aca="false">IF(ISNUMBER(Measures!D8),Measures!D8,"n.a.")</f>
        <v>1922</v>
      </c>
      <c r="E8" s="8" t="n">
        <f aca="false">IF(OR(NOT(ISNUMBER(Measures!C8)),NOT(ISNUMBER(Measures!D8))),"n.a.",IF(Measures!D8=0,"n.a.",Measures!C8/Measures!D8))</f>
        <v>0.09105098855359</v>
      </c>
      <c r="F8" s="6" t="s">
        <v>11</v>
      </c>
    </row>
    <row r="9" customFormat="false" ht="34.5" hidden="false" customHeight="true" outlineLevel="0" collapsed="false">
      <c r="A9" s="9" t="s">
        <v>12</v>
      </c>
      <c r="B9" s="9" t="s">
        <v>13</v>
      </c>
      <c r="C9" s="10" t="n">
        <f aca="false">IF(ISNUMBER(Measures!C9),Measures!C9,"n.a.")</f>
        <v>1478</v>
      </c>
      <c r="D9" s="10" t="n">
        <f aca="false">IF(ISNUMBER(Measures!D9),Measures!D9,"n.a.")</f>
        <v>1825</v>
      </c>
      <c r="E9" s="11" t="n">
        <f aca="false">IF(OR(NOT(ISNUMBER(Measures!C9)),NOT(ISNUMBER(Measures!D9))),"n.a.",IF(Measures!D9=0,"n.a.",Measures!C9/Measures!D9))</f>
        <v>0.80986301369863</v>
      </c>
      <c r="F9" s="9" t="s">
        <v>14</v>
      </c>
    </row>
    <row r="10" customFormat="false" ht="34.5" hidden="false" customHeight="true" outlineLevel="0" collapsed="false">
      <c r="A10" s="6" t="s">
        <v>15</v>
      </c>
      <c r="B10" s="6" t="s">
        <v>13</v>
      </c>
      <c r="C10" s="7" t="n">
        <f aca="false">IF(ISNUMBER(Measures!C10),Measures!C10,"n.a.")</f>
        <v>112</v>
      </c>
      <c r="D10" s="7" t="n">
        <f aca="false">IF(ISNUMBER(Measures!D10),Measures!D10,"n.a.")</f>
        <v>113</v>
      </c>
      <c r="E10" s="8" t="n">
        <f aca="false">IF(OR(NOT(ISNUMBER(Measures!C10)),NOT(ISNUMBER(Measures!D10))),"n.a.",IF(Measures!D10=0,"n.a.",Measures!C10/Measures!D10))</f>
        <v>0.991150442477876</v>
      </c>
      <c r="F10" s="6" t="s">
        <v>14</v>
      </c>
    </row>
    <row r="11" customFormat="false" ht="34.5" hidden="false" customHeight="true" outlineLevel="0" collapsed="false">
      <c r="A11" s="9" t="s">
        <v>16</v>
      </c>
      <c r="B11" s="9" t="s">
        <v>13</v>
      </c>
      <c r="C11" s="10" t="n">
        <f aca="false">IF(ISNUMBER(Measures!C11),Measures!C11,"n.a.")</f>
        <v>349</v>
      </c>
      <c r="D11" s="10" t="n">
        <f aca="false">IF(ISNUMBER(Measures!D11),Measures!D11,"n.a.")</f>
        <v>352</v>
      </c>
      <c r="E11" s="11" t="n">
        <f aca="false">IF(OR(NOT(ISNUMBER(Measures!C11)),NOT(ISNUMBER(Measures!D11))),"n.a.",IF(Measures!D11=0,"n.a.",Measures!C11/Measures!D11))</f>
        <v>0.991477272727273</v>
      </c>
      <c r="F11" s="9" t="s">
        <v>14</v>
      </c>
    </row>
    <row r="12" customFormat="false" ht="34.5" hidden="false" customHeight="true" outlineLevel="0" collapsed="false">
      <c r="A12" s="6" t="s">
        <v>17</v>
      </c>
      <c r="B12" s="6" t="s">
        <v>13</v>
      </c>
      <c r="C12" s="7" t="n">
        <f aca="false">IF(ISNUMBER(Measures!C12),Measures!C12,"n.a.")</f>
        <v>87</v>
      </c>
      <c r="D12" s="7" t="n">
        <f aca="false">IF(ISNUMBER(Measures!D12),Measures!D12,"n.a.")</f>
        <v>109</v>
      </c>
      <c r="E12" s="8" t="n">
        <f aca="false">IF(OR(NOT(ISNUMBER(Measures!C12)),NOT(ISNUMBER(Measures!D12))),"n.a.",IF(Measures!D12=0,"n.a.",Measures!C12/Measures!D12))</f>
        <v>0.798165137614679</v>
      </c>
      <c r="F12" s="6" t="s">
        <v>14</v>
      </c>
    </row>
    <row r="13" customFormat="false" ht="34.5" hidden="false" customHeight="true" outlineLevel="0" collapsed="false">
      <c r="A13" s="9" t="s">
        <v>18</v>
      </c>
      <c r="B13" s="9" t="s">
        <v>13</v>
      </c>
      <c r="C13" s="10" t="n">
        <f aca="false">IF(ISNUMBER(Measures!C13),Measures!C13,"n.a.")</f>
        <v>697</v>
      </c>
      <c r="D13" s="10" t="n">
        <f aca="false">IF(ISNUMBER(Measures!D13),Measures!D13,"n.a.")</f>
        <v>794</v>
      </c>
      <c r="E13" s="11" t="n">
        <f aca="false">IF(OR(NOT(ISNUMBER(Measures!C13)),NOT(ISNUMBER(Measures!D13))),"n.a.",IF(Measures!D13=0,"n.a.",Measures!C13/Measures!D13))</f>
        <v>0.877833753148615</v>
      </c>
      <c r="F13" s="9" t="s">
        <v>14</v>
      </c>
    </row>
    <row r="14" customFormat="false" ht="34.5" hidden="false" customHeight="true" outlineLevel="0" collapsed="false">
      <c r="A14" s="6" t="s">
        <v>19</v>
      </c>
      <c r="B14" s="6" t="s">
        <v>13</v>
      </c>
      <c r="C14" s="7" t="n">
        <f aca="false">IF(ISNUMBER(Measures!C14),Measures!C14,"n.a.")</f>
        <v>1099</v>
      </c>
      <c r="D14" s="7" t="n">
        <f aca="false">IF(ISNUMBER(Measures!D14),Measures!D14,"n.a.")</f>
        <v>1424</v>
      </c>
      <c r="E14" s="8" t="n">
        <f aca="false">IF(OR(NOT(ISNUMBER(Measures!C14)),NOT(ISNUMBER(Measures!D14))),"n.a.",IF(Measures!D14=0,"n.a.",Measures!C14/Measures!D14))</f>
        <v>0.771769662921348</v>
      </c>
      <c r="F14" s="6" t="s">
        <v>14</v>
      </c>
    </row>
    <row r="15" customFormat="false" ht="34.5" hidden="false" customHeight="true" outlineLevel="0" collapsed="false">
      <c r="A15" s="9" t="s">
        <v>20</v>
      </c>
      <c r="B15" s="9" t="s">
        <v>13</v>
      </c>
      <c r="C15" s="10" t="n">
        <f aca="false">IF(ISNUMBER(Measures!C15),Measures!C15,"n.a.")</f>
        <v>1097</v>
      </c>
      <c r="D15" s="10" t="n">
        <f aca="false">IF(ISNUMBER(Measures!D15),Measures!D15,"n.a.")</f>
        <v>1424</v>
      </c>
      <c r="E15" s="11" t="n">
        <f aca="false">IF(OR(NOT(ISNUMBER(Measures!C15)),NOT(ISNUMBER(Measures!D15))),"n.a.",IF(Measures!D15=0,"n.a.",Measures!C15/Measures!D15))</f>
        <v>0.770365168539326</v>
      </c>
      <c r="F15" s="9" t="s">
        <v>14</v>
      </c>
    </row>
    <row r="16" customFormat="false" ht="34.5" hidden="false" customHeight="true" outlineLevel="0" collapsed="false">
      <c r="A16" s="6" t="s">
        <v>21</v>
      </c>
      <c r="B16" s="6" t="s">
        <v>13</v>
      </c>
      <c r="C16" s="7" t="n">
        <f aca="false">IF(ISNUMBER(Measures!C16),Measures!C16,"n.a.")</f>
        <v>1452</v>
      </c>
      <c r="D16" s="7" t="n">
        <f aca="false">IF(ISNUMBER(Measures!D16),Measures!D16,"n.a.")</f>
        <v>1825</v>
      </c>
      <c r="E16" s="8" t="n">
        <f aca="false">IF(OR(NOT(ISNUMBER(Measures!C16)),NOT(ISNUMBER(Measures!D16))),"n.a.",IF(Measures!D16=0,"n.a.",Measures!C16/Measures!D16))</f>
        <v>0.795616438356164</v>
      </c>
      <c r="F16" s="6" t="s">
        <v>14</v>
      </c>
    </row>
    <row r="17" customFormat="false" ht="34.5" hidden="false" customHeight="true" outlineLevel="0" collapsed="false">
      <c r="A17" s="9" t="s">
        <v>22</v>
      </c>
      <c r="B17" s="9" t="s">
        <v>23</v>
      </c>
      <c r="C17" s="10" t="n">
        <f aca="false">IF(ISNUMBER(Measures!C17),Measures!C17,"n.a.")</f>
        <v>1922</v>
      </c>
      <c r="D17" s="10" t="n">
        <f aca="false">IF(ISNUMBER(Measures!D17),Measures!D17,"n.a.")</f>
        <v>1969</v>
      </c>
      <c r="E17" s="11" t="n">
        <f aca="false">IF(OR(NOT(ISNUMBER(Measures!C17)),NOT(ISNUMBER(Measures!D17))),"n.a.",IF(Measures!D17=0,"n.a.",Measures!C17/Measures!D17))</f>
        <v>0.976130015236161</v>
      </c>
      <c r="F17" s="9" t="s">
        <v>24</v>
      </c>
    </row>
    <row r="19" customFormat="false" ht="15" hidden="false" customHeight="false" outlineLevel="0" collapsed="false">
      <c r="A19" s="4" t="s">
        <v>25</v>
      </c>
    </row>
    <row r="20" customFormat="false" ht="15" hidden="false" customHeight="false" outlineLevel="0" collapsed="false">
      <c r="A20" s="4" t="s">
        <v>26</v>
      </c>
    </row>
    <row r="22" customFormat="false" ht="16.15" hidden="false" customHeight="false" outlineLevel="0" collapsed="false">
      <c r="A22" s="12" t="s">
        <v>27</v>
      </c>
    </row>
    <row r="23" customFormat="false" ht="15" hidden="false" customHeight="false" outlineLevel="0" collapsed="false">
      <c r="A23" s="4" t="s">
        <v>28</v>
      </c>
    </row>
    <row r="25" customFormat="false" ht="30" hidden="false" customHeight="true" outlineLevel="0" collapsed="false">
      <c r="A25" s="5" t="s">
        <v>29</v>
      </c>
      <c r="B25" s="5" t="s">
        <v>30</v>
      </c>
      <c r="C25" s="5" t="s">
        <v>31</v>
      </c>
      <c r="D25" s="5" t="s">
        <v>32</v>
      </c>
      <c r="E25" s="5" t="s">
        <v>33</v>
      </c>
      <c r="F25" s="5" t="s">
        <v>8</v>
      </c>
    </row>
    <row r="26" customFormat="false" ht="30" hidden="false" customHeight="true" outlineLevel="0" collapsed="false">
      <c r="A26" s="6" t="s">
        <v>34</v>
      </c>
      <c r="B26" s="6" t="s">
        <v>35</v>
      </c>
      <c r="C26" s="7" t="n">
        <v>290264</v>
      </c>
      <c r="D26" s="7" t="n">
        <v>0</v>
      </c>
      <c r="E26" s="13" t="s">
        <v>36</v>
      </c>
      <c r="F26" s="6" t="s">
        <v>37</v>
      </c>
    </row>
    <row r="27" customFormat="false" ht="30" hidden="false" customHeight="true" outlineLevel="0" collapsed="false">
      <c r="A27" s="9" t="s">
        <v>38</v>
      </c>
      <c r="B27" s="9" t="s">
        <v>35</v>
      </c>
      <c r="C27" s="10" t="n">
        <v>170242</v>
      </c>
      <c r="D27" s="10" t="n">
        <v>0</v>
      </c>
      <c r="E27" s="3" t="s">
        <v>36</v>
      </c>
      <c r="F27" s="9" t="s">
        <v>37</v>
      </c>
    </row>
    <row r="28" customFormat="false" ht="30" hidden="false" customHeight="true" outlineLevel="0" collapsed="false">
      <c r="A28" s="6" t="s">
        <v>39</v>
      </c>
      <c r="B28" s="6" t="s">
        <v>35</v>
      </c>
      <c r="C28" s="7" t="n">
        <v>144423</v>
      </c>
      <c r="D28" s="7" t="n">
        <v>0</v>
      </c>
      <c r="E28" s="13" t="s">
        <v>36</v>
      </c>
      <c r="F28" s="6" t="s">
        <v>37</v>
      </c>
    </row>
    <row r="29" customFormat="false" ht="30" hidden="false" customHeight="true" outlineLevel="0" collapsed="false">
      <c r="A29" s="9" t="s">
        <v>40</v>
      </c>
      <c r="B29" s="9" t="s">
        <v>35</v>
      </c>
      <c r="C29" s="10" t="n">
        <v>858056</v>
      </c>
      <c r="D29" s="10" t="n">
        <v>0</v>
      </c>
      <c r="E29" s="3" t="s">
        <v>36</v>
      </c>
      <c r="F29" s="9" t="s">
        <v>37</v>
      </c>
    </row>
    <row r="30" customFormat="false" ht="30" hidden="false" customHeight="true" outlineLevel="0" collapsed="false">
      <c r="A30" s="6" t="s">
        <v>41</v>
      </c>
      <c r="B30" s="6" t="s">
        <v>35</v>
      </c>
      <c r="C30" s="7" t="n">
        <v>2061403</v>
      </c>
      <c r="D30" s="7" t="n">
        <v>0</v>
      </c>
      <c r="E30" s="13" t="s">
        <v>36</v>
      </c>
      <c r="F30" s="6" t="s">
        <v>37</v>
      </c>
    </row>
    <row r="31" customFormat="false" ht="30" hidden="false" customHeight="true" outlineLevel="0" collapsed="false">
      <c r="A31" s="9" t="s">
        <v>42</v>
      </c>
      <c r="B31" s="9" t="s">
        <v>35</v>
      </c>
      <c r="C31" s="10" t="n">
        <v>118428</v>
      </c>
      <c r="D31" s="10" t="n">
        <v>0</v>
      </c>
      <c r="E31" s="3" t="s">
        <v>36</v>
      </c>
      <c r="F31" s="9" t="s">
        <v>37</v>
      </c>
    </row>
    <row r="32" customFormat="false" ht="30" hidden="false" customHeight="true" outlineLevel="0" collapsed="false">
      <c r="A32" s="6" t="s">
        <v>43</v>
      </c>
      <c r="B32" s="6" t="s">
        <v>35</v>
      </c>
      <c r="C32" s="7" t="n">
        <v>106181</v>
      </c>
      <c r="D32" s="7" t="n">
        <v>0</v>
      </c>
      <c r="E32" s="13" t="s">
        <v>36</v>
      </c>
      <c r="F32" s="6" t="s">
        <v>37</v>
      </c>
    </row>
    <row r="33" customFormat="false" ht="30" hidden="false" customHeight="true" outlineLevel="0" collapsed="false">
      <c r="A33" s="9" t="s">
        <v>44</v>
      </c>
      <c r="B33" s="9" t="s">
        <v>35</v>
      </c>
      <c r="C33" s="10" t="n">
        <v>2000</v>
      </c>
      <c r="D33" s="10" t="n">
        <v>0</v>
      </c>
      <c r="E33" s="3" t="s">
        <v>36</v>
      </c>
      <c r="F33" s="9" t="s">
        <v>37</v>
      </c>
    </row>
    <row r="34" customFormat="false" ht="30" hidden="false" customHeight="true" outlineLevel="0" collapsed="false">
      <c r="A34" s="6" t="s">
        <v>45</v>
      </c>
      <c r="B34" s="6" t="s">
        <v>46</v>
      </c>
      <c r="C34" s="7" t="n">
        <v>290264</v>
      </c>
      <c r="D34" s="7" t="n">
        <v>0</v>
      </c>
      <c r="E34" s="13" t="s">
        <v>36</v>
      </c>
      <c r="F34" s="6" t="s">
        <v>37</v>
      </c>
    </row>
    <row r="35" customFormat="false" ht="30" hidden="false" customHeight="true" outlineLevel="0" collapsed="false">
      <c r="A35" s="9" t="s">
        <v>47</v>
      </c>
      <c r="B35" s="9" t="s">
        <v>48</v>
      </c>
      <c r="C35" s="10" t="n">
        <v>2000</v>
      </c>
      <c r="D35" s="10" t="n">
        <v>0</v>
      </c>
      <c r="E35" s="3" t="s">
        <v>36</v>
      </c>
      <c r="F35" s="9" t="s">
        <v>37</v>
      </c>
    </row>
    <row r="36" customFormat="false" ht="30" hidden="false" customHeight="true" outlineLevel="0" collapsed="false">
      <c r="A36" s="6" t="s">
        <v>49</v>
      </c>
      <c r="B36" s="6" t="s">
        <v>50</v>
      </c>
      <c r="C36" s="7" t="n">
        <v>1969</v>
      </c>
      <c r="D36" s="7" t="n">
        <v>0</v>
      </c>
      <c r="E36" s="13" t="s">
        <v>36</v>
      </c>
      <c r="F36" s="6" t="s">
        <v>37</v>
      </c>
    </row>
    <row r="37" customFormat="false" ht="30" hidden="false" customHeight="true" outlineLevel="0" collapsed="false">
      <c r="A37" s="9" t="s">
        <v>51</v>
      </c>
      <c r="B37" s="9" t="s">
        <v>52</v>
      </c>
      <c r="C37" s="10" t="n">
        <v>2061403</v>
      </c>
      <c r="D37" s="10" t="n">
        <v>0</v>
      </c>
      <c r="E37" s="3" t="s">
        <v>36</v>
      </c>
      <c r="F37" s="9" t="s">
        <v>37</v>
      </c>
    </row>
    <row r="38" customFormat="false" ht="30" hidden="false" customHeight="true" outlineLevel="0" collapsed="false">
      <c r="A38" s="6" t="s">
        <v>53</v>
      </c>
      <c r="B38" s="6" t="s">
        <v>54</v>
      </c>
      <c r="C38" s="7" t="n">
        <v>290264</v>
      </c>
      <c r="D38" s="7" t="n">
        <v>0</v>
      </c>
      <c r="E38" s="13" t="s">
        <v>36</v>
      </c>
      <c r="F38" s="6" t="s">
        <v>37</v>
      </c>
    </row>
  </sheetData>
  <printOptions headings="false" gridLines="false" gridLinesSet="true" horizontalCentered="true" verticalCentered="false"/>
  <pageMargins left="0.35" right="0.35" top="0.45" bottom="0.45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&amp;Crounds | Synthetic data | Not for clinical use&amp;RPage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G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44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22"/>
  </cols>
  <sheetData>
    <row r="2" customFormat="false" ht="27" hidden="false" customHeight="true" outlineLevel="0" collapsed="false">
      <c r="A2" s="1" t="s">
        <v>55</v>
      </c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56</v>
      </c>
    </row>
    <row r="5" customFormat="false" ht="15" hidden="false" customHeight="false" outlineLevel="0" collapsed="false">
      <c r="A5" s="4" t="s">
        <v>57</v>
      </c>
    </row>
    <row r="7" customFormat="false" ht="30" hidden="false" customHeight="true" outlineLevel="0" collapsed="false">
      <c r="A7" s="5" t="s">
        <v>58</v>
      </c>
      <c r="B7" s="5" t="s">
        <v>3</v>
      </c>
      <c r="C7" s="5" t="s">
        <v>5</v>
      </c>
      <c r="D7" s="5" t="s">
        <v>6</v>
      </c>
      <c r="E7" s="5" t="s">
        <v>59</v>
      </c>
      <c r="F7" s="5" t="s">
        <v>60</v>
      </c>
      <c r="G7" s="5" t="s">
        <v>4</v>
      </c>
    </row>
    <row r="8" customFormat="false" ht="34.5" hidden="false" customHeight="true" outlineLevel="0" collapsed="false">
      <c r="A8" s="6" t="s">
        <v>61</v>
      </c>
      <c r="B8" s="6" t="s">
        <v>9</v>
      </c>
      <c r="C8" s="7" t="n">
        <v>175</v>
      </c>
      <c r="D8" s="7" t="n">
        <v>1922</v>
      </c>
      <c r="E8" s="8" t="n">
        <v>0.0911</v>
      </c>
      <c r="F8" s="13" t="s">
        <v>62</v>
      </c>
      <c r="G8" s="6" t="s">
        <v>10</v>
      </c>
    </row>
    <row r="9" customFormat="false" ht="34.5" hidden="false" customHeight="true" outlineLevel="0" collapsed="false">
      <c r="A9" s="9" t="s">
        <v>63</v>
      </c>
      <c r="B9" s="9" t="s">
        <v>12</v>
      </c>
      <c r="C9" s="10" t="n">
        <v>1478</v>
      </c>
      <c r="D9" s="10" t="n">
        <v>1825</v>
      </c>
      <c r="E9" s="11" t="n">
        <v>0.8099</v>
      </c>
      <c r="F9" s="3" t="s">
        <v>62</v>
      </c>
      <c r="G9" s="9" t="s">
        <v>13</v>
      </c>
    </row>
    <row r="10" customFormat="false" ht="34.5" hidden="false" customHeight="true" outlineLevel="0" collapsed="false">
      <c r="A10" s="6" t="s">
        <v>64</v>
      </c>
      <c r="B10" s="6" t="s">
        <v>15</v>
      </c>
      <c r="C10" s="7" t="n">
        <v>112</v>
      </c>
      <c r="D10" s="7" t="n">
        <v>113</v>
      </c>
      <c r="E10" s="8" t="n">
        <v>0.9912</v>
      </c>
      <c r="F10" s="13" t="s">
        <v>62</v>
      </c>
      <c r="G10" s="6" t="s">
        <v>13</v>
      </c>
    </row>
    <row r="11" customFormat="false" ht="34.5" hidden="false" customHeight="true" outlineLevel="0" collapsed="false">
      <c r="A11" s="9" t="s">
        <v>65</v>
      </c>
      <c r="B11" s="9" t="s">
        <v>16</v>
      </c>
      <c r="C11" s="10" t="n">
        <v>349</v>
      </c>
      <c r="D11" s="10" t="n">
        <v>352</v>
      </c>
      <c r="E11" s="11" t="n">
        <v>0.9915</v>
      </c>
      <c r="F11" s="3" t="s">
        <v>62</v>
      </c>
      <c r="G11" s="9" t="s">
        <v>13</v>
      </c>
    </row>
    <row r="12" customFormat="false" ht="34.5" hidden="false" customHeight="true" outlineLevel="0" collapsed="false">
      <c r="A12" s="6" t="s">
        <v>66</v>
      </c>
      <c r="B12" s="6" t="s">
        <v>17</v>
      </c>
      <c r="C12" s="7" t="n">
        <v>87</v>
      </c>
      <c r="D12" s="7" t="n">
        <v>109</v>
      </c>
      <c r="E12" s="8" t="n">
        <v>0.7982</v>
      </c>
      <c r="F12" s="13" t="s">
        <v>62</v>
      </c>
      <c r="G12" s="6" t="s">
        <v>13</v>
      </c>
    </row>
    <row r="13" customFormat="false" ht="34.5" hidden="false" customHeight="true" outlineLevel="0" collapsed="false">
      <c r="A13" s="9" t="s">
        <v>67</v>
      </c>
      <c r="B13" s="9" t="s">
        <v>18</v>
      </c>
      <c r="C13" s="10" t="n">
        <v>697</v>
      </c>
      <c r="D13" s="10" t="n">
        <v>794</v>
      </c>
      <c r="E13" s="11" t="n">
        <v>0.8778</v>
      </c>
      <c r="F13" s="3" t="s">
        <v>62</v>
      </c>
      <c r="G13" s="9" t="s">
        <v>13</v>
      </c>
    </row>
    <row r="14" customFormat="false" ht="34.5" hidden="false" customHeight="true" outlineLevel="0" collapsed="false">
      <c r="A14" s="6" t="s">
        <v>68</v>
      </c>
      <c r="B14" s="6" t="s">
        <v>19</v>
      </c>
      <c r="C14" s="7" t="n">
        <v>1099</v>
      </c>
      <c r="D14" s="7" t="n">
        <v>1424</v>
      </c>
      <c r="E14" s="8" t="n">
        <v>0.7718</v>
      </c>
      <c r="F14" s="13" t="s">
        <v>62</v>
      </c>
      <c r="G14" s="6" t="s">
        <v>13</v>
      </c>
    </row>
    <row r="15" customFormat="false" ht="34.5" hidden="false" customHeight="true" outlineLevel="0" collapsed="false">
      <c r="A15" s="9" t="s">
        <v>69</v>
      </c>
      <c r="B15" s="9" t="s">
        <v>20</v>
      </c>
      <c r="C15" s="10" t="n">
        <v>1097</v>
      </c>
      <c r="D15" s="10" t="n">
        <v>1424</v>
      </c>
      <c r="E15" s="11" t="n">
        <v>0.7704</v>
      </c>
      <c r="F15" s="3" t="s">
        <v>62</v>
      </c>
      <c r="G15" s="9" t="s">
        <v>13</v>
      </c>
    </row>
    <row r="16" customFormat="false" ht="34.5" hidden="false" customHeight="true" outlineLevel="0" collapsed="false">
      <c r="A16" s="6" t="s">
        <v>70</v>
      </c>
      <c r="B16" s="6" t="s">
        <v>21</v>
      </c>
      <c r="C16" s="7" t="n">
        <v>1452</v>
      </c>
      <c r="D16" s="7" t="n">
        <v>1825</v>
      </c>
      <c r="E16" s="8" t="n">
        <v>0.7956</v>
      </c>
      <c r="F16" s="13" t="s">
        <v>62</v>
      </c>
      <c r="G16" s="6" t="s">
        <v>13</v>
      </c>
    </row>
    <row r="17" customFormat="false" ht="34.5" hidden="false" customHeight="true" outlineLevel="0" collapsed="false">
      <c r="A17" s="9" t="s">
        <v>71</v>
      </c>
      <c r="B17" s="9" t="s">
        <v>22</v>
      </c>
      <c r="C17" s="10" t="n">
        <v>1922</v>
      </c>
      <c r="D17" s="10" t="n">
        <v>1969</v>
      </c>
      <c r="E17" s="11" t="n">
        <v>0.9761</v>
      </c>
      <c r="F17" s="3" t="s">
        <v>62</v>
      </c>
      <c r="G17" s="9" t="s">
        <v>23</v>
      </c>
    </row>
  </sheetData>
  <autoFilter ref="A7:G17"/>
  <printOptions headings="false" gridLines="false" gridLinesSet="true" horizontalCentered="true" verticalCentered="false"/>
  <pageMargins left="0.35" right="0.35" top="0.45" bottom="0.45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&amp;Crounds | Synthetic data | Not for clinical use&amp;RPage &amp;P of &amp;N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B4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121"/>
  </cols>
  <sheetData>
    <row r="2" customFormat="false" ht="27" hidden="false" customHeight="true" outlineLevel="0" collapsed="false">
      <c r="A2" s="1" t="s">
        <v>72</v>
      </c>
    </row>
    <row r="3" customFormat="false" ht="15" hidden="false" customHeight="false" outlineLevel="0" collapsed="false">
      <c r="A3" s="2"/>
      <c r="B3" s="2"/>
    </row>
    <row r="4" customFormat="false" ht="48.75" hidden="false" customHeight="true" outlineLevel="0" collapsed="false">
      <c r="A4" s="14" t="s">
        <v>73</v>
      </c>
      <c r="B4" s="9" t="s">
        <v>74</v>
      </c>
    </row>
    <row r="6" customFormat="false" ht="24.75" hidden="false" customHeight="true" outlineLevel="0" collapsed="false">
      <c r="A6" s="14" t="s">
        <v>75</v>
      </c>
      <c r="B6" s="9" t="s">
        <v>76</v>
      </c>
    </row>
    <row r="7" customFormat="false" ht="24.75" hidden="false" customHeight="true" outlineLevel="0" collapsed="false">
      <c r="A7" s="14" t="s">
        <v>77</v>
      </c>
      <c r="B7" s="9" t="s">
        <v>78</v>
      </c>
    </row>
    <row r="8" customFormat="false" ht="24.75" hidden="false" customHeight="true" outlineLevel="0" collapsed="false">
      <c r="A8" s="14" t="s">
        <v>79</v>
      </c>
      <c r="B8" s="9" t="s">
        <v>80</v>
      </c>
    </row>
    <row r="9" customFormat="false" ht="24.75" hidden="false" customHeight="true" outlineLevel="0" collapsed="false">
      <c r="A9" s="14" t="s">
        <v>81</v>
      </c>
      <c r="B9" s="9" t="s">
        <v>82</v>
      </c>
    </row>
    <row r="10" customFormat="false" ht="33.75" hidden="false" customHeight="true" outlineLevel="0" collapsed="false">
      <c r="A10" s="14" t="s">
        <v>83</v>
      </c>
      <c r="B10" s="9" t="s">
        <v>84</v>
      </c>
    </row>
    <row r="11" customFormat="false" ht="33.75" hidden="false" customHeight="true" outlineLevel="0" collapsed="false">
      <c r="A11" s="14" t="s">
        <v>85</v>
      </c>
      <c r="B11" s="9" t="s">
        <v>86</v>
      </c>
    </row>
    <row r="12" customFormat="false" ht="33.75" hidden="false" customHeight="true" outlineLevel="0" collapsed="false">
      <c r="A12" s="14" t="s">
        <v>87</v>
      </c>
      <c r="B12" s="9" t="s">
        <v>88</v>
      </c>
    </row>
    <row r="13" customFormat="false" ht="24.75" hidden="false" customHeight="true" outlineLevel="0" collapsed="false">
      <c r="A13" s="14" t="s">
        <v>89</v>
      </c>
      <c r="B13" s="9" t="s">
        <v>28</v>
      </c>
    </row>
    <row r="14" customFormat="false" ht="24.75" hidden="false" customHeight="true" outlineLevel="0" collapsed="false">
      <c r="A14" s="14" t="s">
        <v>90</v>
      </c>
      <c r="B14" s="9" t="s">
        <v>91</v>
      </c>
    </row>
    <row r="15" customFormat="false" ht="24.75" hidden="false" customHeight="true" outlineLevel="0" collapsed="false">
      <c r="A15" s="14" t="s">
        <v>92</v>
      </c>
      <c r="B15" s="9" t="s">
        <v>93</v>
      </c>
    </row>
    <row r="16" customFormat="false" ht="24.75" hidden="false" customHeight="true" outlineLevel="0" collapsed="false">
      <c r="A16" s="14" t="s">
        <v>94</v>
      </c>
      <c r="B16" s="9" t="s">
        <v>95</v>
      </c>
    </row>
    <row r="18" customFormat="false" ht="16.15" hidden="false" customHeight="false" outlineLevel="0" collapsed="false">
      <c r="A18" s="12" t="s">
        <v>96</v>
      </c>
    </row>
    <row r="20" customFormat="false" ht="49.5" hidden="false" customHeight="true" outlineLevel="0" collapsed="false">
      <c r="A20" s="15" t="s">
        <v>9</v>
      </c>
      <c r="B20" s="9" t="s">
        <v>97</v>
      </c>
    </row>
    <row r="21" customFormat="false" ht="34.5" hidden="false" customHeight="true" outlineLevel="0" collapsed="false">
      <c r="A21" s="4" t="s">
        <v>98</v>
      </c>
      <c r="B21" s="9" t="s">
        <v>99</v>
      </c>
    </row>
    <row r="23" customFormat="false" ht="49.5" hidden="false" customHeight="true" outlineLevel="0" collapsed="false">
      <c r="A23" s="15" t="s">
        <v>12</v>
      </c>
      <c r="B23" s="9" t="s">
        <v>100</v>
      </c>
    </row>
    <row r="24" customFormat="false" ht="34.5" hidden="false" customHeight="true" outlineLevel="0" collapsed="false">
      <c r="A24" s="4" t="s">
        <v>98</v>
      </c>
      <c r="B24" s="9" t="s">
        <v>101</v>
      </c>
    </row>
    <row r="26" customFormat="false" ht="49.5" hidden="false" customHeight="true" outlineLevel="0" collapsed="false">
      <c r="A26" s="15" t="s">
        <v>15</v>
      </c>
      <c r="B26" s="9" t="s">
        <v>102</v>
      </c>
    </row>
    <row r="27" customFormat="false" ht="34.5" hidden="false" customHeight="true" outlineLevel="0" collapsed="false">
      <c r="A27" s="4" t="s">
        <v>98</v>
      </c>
      <c r="B27" s="9" t="s">
        <v>101</v>
      </c>
    </row>
    <row r="29" customFormat="false" ht="49.5" hidden="false" customHeight="true" outlineLevel="0" collapsed="false">
      <c r="A29" s="15" t="s">
        <v>16</v>
      </c>
      <c r="B29" s="9" t="s">
        <v>103</v>
      </c>
    </row>
    <row r="30" customFormat="false" ht="34.5" hidden="false" customHeight="true" outlineLevel="0" collapsed="false">
      <c r="A30" s="4" t="s">
        <v>98</v>
      </c>
      <c r="B30" s="9" t="s">
        <v>101</v>
      </c>
    </row>
    <row r="32" customFormat="false" ht="49.5" hidden="false" customHeight="true" outlineLevel="0" collapsed="false">
      <c r="A32" s="15" t="s">
        <v>17</v>
      </c>
      <c r="B32" s="9" t="s">
        <v>104</v>
      </c>
    </row>
    <row r="33" customFormat="false" ht="34.5" hidden="false" customHeight="true" outlineLevel="0" collapsed="false">
      <c r="A33" s="4" t="s">
        <v>98</v>
      </c>
      <c r="B33" s="9" t="s">
        <v>101</v>
      </c>
    </row>
    <row r="35" customFormat="false" ht="49.5" hidden="false" customHeight="true" outlineLevel="0" collapsed="false">
      <c r="A35" s="15" t="s">
        <v>18</v>
      </c>
      <c r="B35" s="9" t="s">
        <v>105</v>
      </c>
    </row>
    <row r="36" customFormat="false" ht="34.5" hidden="false" customHeight="true" outlineLevel="0" collapsed="false">
      <c r="A36" s="4" t="s">
        <v>98</v>
      </c>
      <c r="B36" s="9" t="s">
        <v>101</v>
      </c>
    </row>
    <row r="38" customFormat="false" ht="49.5" hidden="false" customHeight="true" outlineLevel="0" collapsed="false">
      <c r="A38" s="15" t="s">
        <v>19</v>
      </c>
      <c r="B38" s="9" t="s">
        <v>106</v>
      </c>
    </row>
    <row r="39" customFormat="false" ht="34.5" hidden="false" customHeight="true" outlineLevel="0" collapsed="false">
      <c r="A39" s="4" t="s">
        <v>98</v>
      </c>
      <c r="B39" s="9" t="s">
        <v>101</v>
      </c>
    </row>
    <row r="41" customFormat="false" ht="49.5" hidden="false" customHeight="true" outlineLevel="0" collapsed="false">
      <c r="A41" s="15" t="s">
        <v>20</v>
      </c>
      <c r="B41" s="9" t="s">
        <v>107</v>
      </c>
    </row>
    <row r="42" customFormat="false" ht="34.5" hidden="false" customHeight="true" outlineLevel="0" collapsed="false">
      <c r="A42" s="4" t="s">
        <v>98</v>
      </c>
      <c r="B42" s="9" t="s">
        <v>101</v>
      </c>
    </row>
    <row r="44" customFormat="false" ht="49.5" hidden="false" customHeight="true" outlineLevel="0" collapsed="false">
      <c r="A44" s="15" t="s">
        <v>21</v>
      </c>
      <c r="B44" s="9" t="s">
        <v>108</v>
      </c>
    </row>
    <row r="45" customFormat="false" ht="34.5" hidden="false" customHeight="true" outlineLevel="0" collapsed="false">
      <c r="A45" s="4" t="s">
        <v>98</v>
      </c>
      <c r="B45" s="9" t="s">
        <v>101</v>
      </c>
    </row>
    <row r="47" customFormat="false" ht="49.5" hidden="false" customHeight="true" outlineLevel="0" collapsed="false">
      <c r="A47" s="15" t="s">
        <v>22</v>
      </c>
      <c r="B47" s="9" t="s">
        <v>109</v>
      </c>
    </row>
    <row r="48" customFormat="false" ht="34.5" hidden="false" customHeight="true" outlineLevel="0" collapsed="false">
      <c r="A48" s="4" t="s">
        <v>98</v>
      </c>
      <c r="B48" s="9" t="s">
        <v>110</v>
      </c>
    </row>
  </sheetData>
  <hyperlinks>
    <hyperlink ref="B16" r:id="rId1" display="https://github.com/synthetichealth/synthea/releases/tag/master-branch-latest"/>
  </hyperlinks>
  <printOptions headings="false" gridLines="false" gridLinesSet="true" horizontalCentered="true" verticalCentered="false"/>
  <pageMargins left="0.35" right="0.35" top="0.45" bottom="0.45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&amp;Crounds | Synthetic data | Not for clinical use&amp;RPage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2026-09-23T04:13:10Z</dcterms:created>
  <dc:creator>openpyxl</dc:creator>
  <dc:description/>
  <dc:language>en-US</dc:language>
  <cp:lastModifiedBy/>
  <dcterms:modified xsi:type="dcterms:W3CDTF">2026-09-23T04:13:10Z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